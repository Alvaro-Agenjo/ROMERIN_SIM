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0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ALVARO\UPM\4. Cuarto de carrera\Segundo cuatri\TFG\"/>
    </mc:Choice>
  </mc:AlternateContent>
  <xr:revisionPtr revIDLastSave="0" documentId="13_ncr:9_{A41ECE54-2545-4BE4-9387-5BEAC2A55622}" xr6:coauthVersionLast="47" xr6:coauthVersionMax="47" xr10:uidLastSave="{00000000-0000-0000-0000-000000000000}"/>
  <bookViews>
    <workbookView xWindow="-108" yWindow="-108" windowWidth="23256" windowHeight="12576" xr2:uid="{0F12C09E-DD35-44B7-B193-80052ED1B53A}"/>
  </bookViews>
  <sheets>
    <sheet name="Hoja1" sheetId="1" r:id="rId1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63" i="1" l="1"/>
  <c r="F63" i="1"/>
  <c r="R30" i="1" a="1"/>
  <c r="R30" i="1" s="1"/>
  <c r="R32" i="1" a="1"/>
  <c r="R32" i="1" s="1"/>
  <c r="X9" i="1"/>
  <c r="V9" i="1"/>
  <c r="X8" i="1"/>
  <c r="V8" i="1"/>
  <c r="H13" i="1"/>
  <c r="J12" i="1"/>
  <c r="I12" i="1"/>
  <c r="P10" i="1"/>
  <c r="H10" i="1"/>
  <c r="B10" i="1"/>
  <c r="B8" i="1"/>
  <c r="B12" i="1"/>
  <c r="B7" i="1"/>
  <c r="I13" i="1"/>
  <c r="Y24" i="1"/>
  <c r="X24" i="1"/>
  <c r="W20" i="1"/>
  <c r="X20" i="1" s="1"/>
  <c r="P12" i="1"/>
  <c r="H12" i="1"/>
  <c r="D10" i="1"/>
  <c r="O9" i="1"/>
  <c r="H9" i="1"/>
  <c r="M8" i="1" s="1"/>
  <c r="D9" i="1"/>
  <c r="B9" i="1"/>
  <c r="O8" i="1"/>
  <c r="H8" i="1"/>
  <c r="J8" i="1" s="1"/>
  <c r="P7" i="1"/>
  <c r="H7" i="1"/>
  <c r="I7" i="1" s="1"/>
  <c r="H6" i="1"/>
  <c r="I6" i="1" s="1"/>
  <c r="W18" i="1"/>
  <c r="X18" i="1" s="1"/>
  <c r="G6" i="1" s="1"/>
  <c r="L5" i="1"/>
  <c r="K5" i="1"/>
  <c r="C6" i="1" s="1"/>
  <c r="J5" i="1"/>
  <c r="B6" i="1" s="1"/>
  <c r="W25" i="1"/>
  <c r="W26" i="1" s="1"/>
  <c r="Y26" i="1" s="1"/>
  <c r="AC18" i="1" l="1"/>
  <c r="AB18" i="1" s="1"/>
  <c r="AD18" i="1" s="1"/>
  <c r="AC19" i="1"/>
  <c r="Y18" i="1"/>
  <c r="F46" i="1"/>
  <c r="F62" i="1"/>
  <c r="F31" i="1"/>
  <c r="F47" i="1"/>
  <c r="F30" i="1"/>
  <c r="F32" i="1"/>
  <c r="F48" i="1"/>
  <c r="F33" i="1"/>
  <c r="F49" i="1"/>
  <c r="F34" i="1"/>
  <c r="F50" i="1"/>
  <c r="F35" i="1"/>
  <c r="F51" i="1"/>
  <c r="F36" i="1"/>
  <c r="F52" i="1"/>
  <c r="F37" i="1"/>
  <c r="F53" i="1"/>
  <c r="F38" i="1"/>
  <c r="F54" i="1"/>
  <c r="F39" i="1"/>
  <c r="F55" i="1"/>
  <c r="F40" i="1"/>
  <c r="F56" i="1"/>
  <c r="F41" i="1"/>
  <c r="F57" i="1"/>
  <c r="F42" i="1"/>
  <c r="F58" i="1"/>
  <c r="F43" i="1"/>
  <c r="F59" i="1"/>
  <c r="F44" i="1"/>
  <c r="F60" i="1"/>
  <c r="F45" i="1"/>
  <c r="F61" i="1"/>
  <c r="D48" i="1"/>
  <c r="D32" i="1"/>
  <c r="D45" i="1"/>
  <c r="D44" i="1"/>
  <c r="D43" i="1"/>
  <c r="D58" i="1"/>
  <c r="D41" i="1"/>
  <c r="D56" i="1"/>
  <c r="D55" i="1"/>
  <c r="D54" i="1"/>
  <c r="D53" i="1"/>
  <c r="D36" i="1"/>
  <c r="D35" i="1"/>
  <c r="D34" i="1"/>
  <c r="D47" i="1"/>
  <c r="D31" i="1"/>
  <c r="D62" i="1"/>
  <c r="D46" i="1"/>
  <c r="D30" i="1"/>
  <c r="D61" i="1"/>
  <c r="D60" i="1"/>
  <c r="D59" i="1"/>
  <c r="D42" i="1"/>
  <c r="D57" i="1"/>
  <c r="D40" i="1"/>
  <c r="D39" i="1"/>
  <c r="D38" i="1"/>
  <c r="D37" i="1"/>
  <c r="D52" i="1"/>
  <c r="D51" i="1"/>
  <c r="D50" i="1"/>
  <c r="D49" i="1"/>
  <c r="D33" i="1"/>
  <c r="X25" i="1"/>
  <c r="M9" i="1"/>
  <c r="X26" i="1"/>
  <c r="Y25" i="1"/>
  <c r="J9" i="1"/>
  <c r="AE18" i="1" l="1"/>
  <c r="AE19" i="1"/>
  <c r="AB19" i="1"/>
  <c r="AD19" i="1" s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<sst xmlns="http://purl.oclc.org/ooxml/spreadsheetml/main" count="140" uniqueCount="74">
  <si>
    <t>Body</t>
  </si>
  <si>
    <t>Cuerpo</t>
  </si>
  <si>
    <t>Geometria</t>
  </si>
  <si>
    <t>Articulacion</t>
  </si>
  <si>
    <t>d1</t>
  </si>
  <si>
    <t>desplazamiento</t>
  </si>
  <si>
    <t>rotacion</t>
  </si>
  <si>
    <t>Tamaño</t>
  </si>
  <si>
    <t>Puntos</t>
  </si>
  <si>
    <t>ejes</t>
  </si>
  <si>
    <t>d2</t>
  </si>
  <si>
    <t>x</t>
  </si>
  <si>
    <t>y</t>
  </si>
  <si>
    <t>z</t>
  </si>
  <si>
    <t>r</t>
  </si>
  <si>
    <t>l/2</t>
  </si>
  <si>
    <t>x1</t>
  </si>
  <si>
    <t>y1</t>
  </si>
  <si>
    <t>z1</t>
  </si>
  <si>
    <t>x2</t>
  </si>
  <si>
    <t>y2</t>
  </si>
  <si>
    <t>z2</t>
  </si>
  <si>
    <t>h</t>
  </si>
  <si>
    <t>c</t>
  </si>
  <si>
    <t>-</t>
  </si>
  <si>
    <t>d3</t>
  </si>
  <si>
    <t>l1</t>
  </si>
  <si>
    <t>l2</t>
  </si>
  <si>
    <t>l3</t>
  </si>
  <si>
    <t>alpha</t>
  </si>
  <si>
    <t>l4</t>
  </si>
  <si>
    <t>-0</t>
  </si>
  <si>
    <t>l5</t>
  </si>
  <si>
    <t>Esfera(4)</t>
  </si>
  <si>
    <t>l6</t>
  </si>
  <si>
    <t>Invisible(5)</t>
  </si>
  <si>
    <t>Base</t>
  </si>
  <si>
    <t>att-m1</t>
  </si>
  <si>
    <t>l0</t>
  </si>
  <si>
    <t>h1</t>
  </si>
  <si>
    <t>h2</t>
  </si>
  <si>
    <t>b1</t>
  </si>
  <si>
    <t>b2</t>
  </si>
  <si>
    <t>b3</t>
  </si>
  <si>
    <t>b4</t>
  </si>
  <si>
    <t>b6</t>
  </si>
  <si>
    <t>a1</t>
  </si>
  <si>
    <t>a2</t>
  </si>
  <si>
    <t>h3</t>
  </si>
  <si>
    <t>a3</t>
  </si>
  <si>
    <t>h4</t>
  </si>
  <si>
    <t>a4</t>
  </si>
  <si>
    <t>a5</t>
  </si>
  <si>
    <t>h5</t>
  </si>
  <si>
    <t>h6</t>
  </si>
  <si>
    <t>h7</t>
  </si>
  <si>
    <t>sensores</t>
  </si>
  <si>
    <t>a0</t>
  </si>
  <si>
    <t>6'</t>
  </si>
  <si>
    <t>holgura</t>
  </si>
  <si>
    <t>angulo patas</t>
  </si>
  <si>
    <t>angulo b2</t>
  </si>
  <si>
    <t>sensor proxim</t>
  </si>
  <si>
    <t>Inercia</t>
  </si>
  <si>
    <t>pos</t>
  </si>
  <si>
    <t>mass</t>
  </si>
  <si>
    <t>kg</t>
  </si>
  <si>
    <t>ai</t>
  </si>
  <si>
    <t>ad</t>
  </si>
  <si>
    <t>abi</t>
  </si>
  <si>
    <t>abd</t>
  </si>
  <si>
    <t>Power</t>
  </si>
  <si>
    <t>Preassure</t>
  </si>
  <si>
    <t>Force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</si>
</sst>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* #,##0.00&quot; &quot;;&quot;-&quot;* #,##0.00&quot; &quot;;&quot; &quot;* &quot;-&quot;#&quot; &quot;;&quot; &quot;@&quot; &quot;"/>
    <numFmt numFmtId="165" formatCode="0.0000"/>
    <numFmt numFmtId="166" formatCode="0.0000000000000"/>
  </numFmts>
  <fonts count="15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CC0000"/>
      <name val="Aptos Narrow"/>
      <family val="2"/>
    </font>
    <font>
      <i/>
      <sz val="11"/>
      <color rgb="FF808080"/>
      <name val="Aptos Narrow"/>
      <family val="2"/>
    </font>
    <font>
      <sz val="11"/>
      <color rgb="FF006600"/>
      <name val="Aptos Narrow"/>
      <family val="2"/>
    </font>
    <font>
      <b/>
      <sz val="24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2"/>
      <color rgb="FF000000"/>
      <name val="Aptos Narrow"/>
      <family val="2"/>
    </font>
    <font>
      <u/>
      <sz val="11"/>
      <color rgb="FF0000EE"/>
      <name val="Aptos Narrow"/>
      <family val="2"/>
    </font>
    <font>
      <sz val="11"/>
      <color rgb="FF996600"/>
      <name val="Aptos Narrow"/>
      <family val="2"/>
    </font>
    <font>
      <sz val="11"/>
      <color rgb="FF333333"/>
      <name val="Aptos Narrow"/>
      <family val="2"/>
    </font>
    <font>
      <b/>
      <i/>
      <u/>
      <sz val="11"/>
      <color rgb="FF000000"/>
      <name val="Aptos Narrow"/>
      <family val="2"/>
    </font>
    <font>
      <sz val="11"/>
      <color rgb="FF747474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164" fontId="1" fillId="0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14" fillId="0" borderId="0" xfId="0" applyFont="1"/>
    <xf numFmtId="0" fontId="0" fillId="0" borderId="0" xfId="8" applyNumberFormat="1" applyFont="1" applyAlignment="1">
      <alignment horizontal="right"/>
    </xf>
    <xf numFmtId="1" fontId="0" fillId="0" borderId="0" xfId="0" applyNumberFormat="1"/>
    <xf numFmtId="49" fontId="0" fillId="0" borderId="0" xfId="8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0">
    <cellStyle name="Accent" xfId="2" xr:uid="{37EA2608-25F6-4BEC-A027-6CEACAFE1CA3}"/>
    <cellStyle name="Accent 1" xfId="3" xr:uid="{CF1B523E-C727-4ADB-A23E-6719D7DF1980}"/>
    <cellStyle name="Accent 2" xfId="4" xr:uid="{E7B721FC-8EDE-4405-B3F3-9FAB1F0BD7DB}"/>
    <cellStyle name="Accent 3" xfId="5" xr:uid="{8A1CB665-CCCD-476F-A681-C80E4F2CF913}"/>
    <cellStyle name="Bad" xfId="6" xr:uid="{F84D6B29-B280-46CB-8524-8D6D5492ECB4}"/>
    <cellStyle name="Error" xfId="7" xr:uid="{C44E89BC-AB2C-4966-9D66-B836672477D0}"/>
    <cellStyle name="Excel Built-in Comma" xfId="8" xr:uid="{9A8166F3-4C18-4757-A82A-EB0EF8A3D69F}"/>
    <cellStyle name="Footnote" xfId="9" xr:uid="{C73BBB09-434F-4EEC-A861-8CECC1289A8D}"/>
    <cellStyle name="Good" xfId="10" xr:uid="{1CAE49EB-59D9-4376-A83F-C544A83A3D47}"/>
    <cellStyle name="Heading" xfId="11" xr:uid="{70561A9E-7A17-48F9-93E0-99D81396E38A}"/>
    <cellStyle name="Heading 1" xfId="12" xr:uid="{E21548DF-54B1-4AD1-A576-543BDD20B83E}"/>
    <cellStyle name="Heading 2" xfId="13" xr:uid="{124582DB-2236-46AA-A0AF-88442E4588E5}"/>
    <cellStyle name="Hyperlink" xfId="14" xr:uid="{7711CE93-6213-4856-97F7-67022BC97D0C}"/>
    <cellStyle name="Neutral" xfId="1" builtinId="28" customBuiltin="1"/>
    <cellStyle name="Normal" xfId="0" builtinId="0" customBuiltin="1"/>
    <cellStyle name="Note" xfId="15" xr:uid="{BE187A9F-3E7A-4653-B884-6484CCEFE1A7}"/>
    <cellStyle name="Result" xfId="16" xr:uid="{82C634BE-848D-4086-9EDD-793F8EA365D0}"/>
    <cellStyle name="Status" xfId="17" xr:uid="{061463EC-EE68-403F-B695-1A17D6B4D047}"/>
    <cellStyle name="Text" xfId="18" xr:uid="{633EA419-4BDB-4776-9956-34ED2213D2EF}"/>
    <cellStyle name="Warning" xfId="19" xr:uid="{3493EEE5-A026-45B1-8177-698681913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Hoja1!$C$29</c:f>
              <c:strCache>
                <c:ptCount val="1"/>
                <c:pt idx="0">
                  <c:v>Preassure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%"/>
                  <a:alpha val="14%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%"/>
                  <a:lumOff val="40%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%"/>
                    <a:alpha val="25%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%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Hoja1!$B$30:$B$62</c:f>
              <c:numCache>
                <c:formatCode>General</c:formatCode>
                <c:ptCount val="33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</c:numCache>
            </c:numRef>
          </c:xVal>
          <c:yVal>
            <c:numRef>
              <c:f>Hoja1!$C$30:$C$62</c:f>
              <c:numCache>
                <c:formatCode>General</c:formatCode>
                <c:ptCount val="33"/>
                <c:pt idx="0">
                  <c:v>10</c:v>
                </c:pt>
                <c:pt idx="1">
                  <c:v>18</c:v>
                </c:pt>
                <c:pt idx="2">
                  <c:v>35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90</c:v>
                </c:pt>
                <c:pt idx="7">
                  <c:v>112</c:v>
                </c:pt>
                <c:pt idx="8">
                  <c:v>120</c:v>
                </c:pt>
                <c:pt idx="9">
                  <c:v>137</c:v>
                </c:pt>
                <c:pt idx="10">
                  <c:v>148</c:v>
                </c:pt>
                <c:pt idx="11">
                  <c:v>170</c:v>
                </c:pt>
                <c:pt idx="12">
                  <c:v>194</c:v>
                </c:pt>
                <c:pt idx="13">
                  <c:v>210</c:v>
                </c:pt>
                <c:pt idx="14">
                  <c:v>230</c:v>
                </c:pt>
                <c:pt idx="15">
                  <c:v>240</c:v>
                </c:pt>
                <c:pt idx="16">
                  <c:v>278</c:v>
                </c:pt>
                <c:pt idx="17">
                  <c:v>299</c:v>
                </c:pt>
                <c:pt idx="18">
                  <c:v>320</c:v>
                </c:pt>
                <c:pt idx="19">
                  <c:v>342</c:v>
                </c:pt>
                <c:pt idx="20">
                  <c:v>356</c:v>
                </c:pt>
                <c:pt idx="21">
                  <c:v>400</c:v>
                </c:pt>
                <c:pt idx="22">
                  <c:v>409</c:v>
                </c:pt>
                <c:pt idx="23">
                  <c:v>448</c:v>
                </c:pt>
                <c:pt idx="24">
                  <c:v>476</c:v>
                </c:pt>
                <c:pt idx="25">
                  <c:v>491</c:v>
                </c:pt>
                <c:pt idx="26">
                  <c:v>537</c:v>
                </c:pt>
                <c:pt idx="27">
                  <c:v>550</c:v>
                </c:pt>
                <c:pt idx="28">
                  <c:v>595</c:v>
                </c:pt>
                <c:pt idx="29">
                  <c:v>619</c:v>
                </c:pt>
                <c:pt idx="30">
                  <c:v>655</c:v>
                </c:pt>
                <c:pt idx="31">
                  <c:v>682</c:v>
                </c:pt>
                <c:pt idx="32">
                  <c:v>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5-473E-8C36-4798ED90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433839"/>
        <c:axId val="1436430959"/>
      </c:scatterChart>
      <c:scatterChart>
        <c:scatterStyle val="lineMarker"/>
        <c:varyColors val="0"/>
        <c:ser>
          <c:idx val="1"/>
          <c:order val="1"/>
          <c:tx>
            <c:strRef>
              <c:f>Hoja1!$E$29</c:f>
              <c:strCache>
                <c:ptCount val="1"/>
                <c:pt idx="0">
                  <c:v>Force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%"/>
                  <a:alpha val="14%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%"/>
                  <a:lumOff val="40%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%"/>
                    <a:alpha val="25%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%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Hoja1!$B$30:$B$62</c:f>
              <c:numCache>
                <c:formatCode>General</c:formatCode>
                <c:ptCount val="33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</c:numCache>
            </c:numRef>
          </c:xVal>
          <c:yVal>
            <c:numRef>
              <c:f>Hoja1!$E$30:$E$62</c:f>
              <c:numCache>
                <c:formatCode>General</c:formatCode>
                <c:ptCount val="33"/>
                <c:pt idx="0">
                  <c:v>0.3</c:v>
                </c:pt>
                <c:pt idx="1">
                  <c:v>0.5</c:v>
                </c:pt>
                <c:pt idx="2">
                  <c:v>0.9</c:v>
                </c:pt>
                <c:pt idx="3">
                  <c:v>1.4</c:v>
                </c:pt>
                <c:pt idx="4">
                  <c:v>1.7</c:v>
                </c:pt>
                <c:pt idx="5">
                  <c:v>2</c:v>
                </c:pt>
                <c:pt idx="6">
                  <c:v>2.2999999999999998</c:v>
                </c:pt>
                <c:pt idx="7">
                  <c:v>2.8</c:v>
                </c:pt>
                <c:pt idx="8">
                  <c:v>3</c:v>
                </c:pt>
                <c:pt idx="9">
                  <c:v>3.5</c:v>
                </c:pt>
                <c:pt idx="10">
                  <c:v>3.8</c:v>
                </c:pt>
                <c:pt idx="11">
                  <c:v>4.3</c:v>
                </c:pt>
                <c:pt idx="12">
                  <c:v>4.8</c:v>
                </c:pt>
                <c:pt idx="13">
                  <c:v>5.3</c:v>
                </c:pt>
                <c:pt idx="14">
                  <c:v>5.8</c:v>
                </c:pt>
                <c:pt idx="15">
                  <c:v>6.1</c:v>
                </c:pt>
                <c:pt idx="16">
                  <c:v>7.1</c:v>
                </c:pt>
                <c:pt idx="17">
                  <c:v>7.6</c:v>
                </c:pt>
                <c:pt idx="18">
                  <c:v>8.1</c:v>
                </c:pt>
                <c:pt idx="19">
                  <c:v>8.6999999999999993</c:v>
                </c:pt>
                <c:pt idx="20">
                  <c:v>9.1</c:v>
                </c:pt>
                <c:pt idx="21">
                  <c:v>10.1</c:v>
                </c:pt>
                <c:pt idx="22">
                  <c:v>10.4</c:v>
                </c:pt>
                <c:pt idx="23">
                  <c:v>11.4</c:v>
                </c:pt>
                <c:pt idx="24">
                  <c:v>12.1</c:v>
                </c:pt>
                <c:pt idx="25">
                  <c:v>12.5</c:v>
                </c:pt>
                <c:pt idx="26">
                  <c:v>13.6</c:v>
                </c:pt>
                <c:pt idx="27">
                  <c:v>14</c:v>
                </c:pt>
                <c:pt idx="28">
                  <c:v>15.1</c:v>
                </c:pt>
                <c:pt idx="29">
                  <c:v>15.7</c:v>
                </c:pt>
                <c:pt idx="30">
                  <c:v>16.600000000000001</c:v>
                </c:pt>
                <c:pt idx="31">
                  <c:v>17.3</c:v>
                </c:pt>
                <c:pt idx="32">
                  <c:v>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A5-473E-8C36-4798ED90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458319"/>
        <c:axId val="1436456879"/>
      </c:scatterChart>
      <c:valAx>
        <c:axId val="143643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%"/>
                  <a:lumOff val="35%"/>
                  <a:alpha val="7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6430959"/>
        <c:crosses val="autoZero"/>
        <c:crossBetween val="midCat"/>
      </c:valAx>
      <c:valAx>
        <c:axId val="14364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%"/>
                  <a:lumOff val="35%"/>
                  <a:alpha val="7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6433839"/>
        <c:crosses val="autoZero"/>
        <c:crossBetween val="midCat"/>
      </c:valAx>
      <c:valAx>
        <c:axId val="1436456879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6458319"/>
        <c:crosses val="max"/>
        <c:crossBetween val="midCat"/>
      </c:valAx>
      <c:valAx>
        <c:axId val="1436458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45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7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dk1">
        <a:lumMod val="75%"/>
        <a:lumOff val="25%"/>
      </a:schemeClr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5">
  <cs:axisTitle>
    <cs:lnRef idx="0"/>
    <cs:fillRef idx="0"/>
    <cs:effectRef idx="0"/>
    <cs:fontRef idx="minor">
      <a:schemeClr val="lt1">
        <a:lumMod val="75%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%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%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%"/>
        <a:lumOff val="85%"/>
      </a:schemeClr>
    </cs:fontRef>
    <cs:spPr>
      <a:solidFill>
        <a:schemeClr val="dk1">
          <a:lumMod val="65%"/>
          <a:lumOff val="35%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%"/>
            <a:alpha val="14%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%"/>
          <a:lumOff val="40%"/>
        </a:schemeClr>
      </a:solidFill>
      <a:effectLst>
        <a:glow rad="63500">
          <a:schemeClr val="phClr">
            <a:satMod val="175%"/>
            <a:alpha val="25%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%"/>
      </a:schemeClr>
    </cs:fontRef>
    <cs:spPr>
      <a:ln w="9525">
        <a:solidFill>
          <a:schemeClr val="dk1">
            <a:lumMod val="50%"/>
            <a:lumOff val="50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7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%"/>
            <a:lumOff val="35%"/>
            <a:alpha val="7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%"/>
            <a:lumOff val="35%"/>
            <a:alpha val="25%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%"/>
      </a:schemeClr>
    </cs:fontRef>
    <cs:defRPr sz="1400" b="1" kern="1200" cap="none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%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%"/>
        </a:schemeClr>
      </a:solidFill>
      <a:ln w="9525">
        <a:solidFill>
          <a:schemeClr val="dk1">
            <a:lumMod val="50%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%"/>
      </a:schemeClr>
    </cs:fontRef>
    <cs:spPr>
      <a:ln w="9525" cap="flat" cmpd="sng" algn="ctr">
        <a:solidFill>
          <a:schemeClr val="lt1">
            <a:lumMod val="50%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544285</xdr:colOff>
      <xdr:row>29</xdr:row>
      <xdr:rowOff>18143</xdr:rowOff>
    </xdr:from>
    <xdr:to>
      <xdr:col>16</xdr:col>
      <xdr:colOff>489856</xdr:colOff>
      <xdr:row>55</xdr:row>
      <xdr:rowOff>24494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3C4147-B822-D80B-9DA0-6EB18E57A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FD41-FDD9-4EBF-9F59-32650F5D7008}">
  <dimension ref="A2:AE63"/>
  <sheetViews>
    <sheetView tabSelected="1" zoomScale="112" zoomScaleNormal="55" workbookViewId="0">
      <selection activeCell="B6" sqref="B6"/>
    </sheetView>
  </sheetViews>
  <sheetFormatPr baseColWidth="10" defaultRowHeight="14.4" x14ac:dyDescent="0.3"/>
  <cols>
    <col min="1" max="1" width="13.6640625" customWidth="1"/>
    <col min="2" max="21" width="10.6640625" customWidth="1"/>
    <col min="22" max="26" width="13.6640625" customWidth="1"/>
    <col min="27" max="27" width="7.88671875" customWidth="1"/>
    <col min="28" max="28" width="17.77734375" customWidth="1"/>
    <col min="29" max="29" width="20.21875" customWidth="1"/>
    <col min="30" max="30" width="18.44140625" customWidth="1"/>
    <col min="31" max="31" width="18.77734375" customWidth="1"/>
    <col min="32" max="1024" width="13.6640625" customWidth="1"/>
  </cols>
  <sheetData>
    <row r="2" spans="1:25" x14ac:dyDescent="0.3">
      <c r="A2" s="8" t="s">
        <v>0</v>
      </c>
      <c r="B2" s="7" t="s">
        <v>1</v>
      </c>
      <c r="C2" s="7"/>
      <c r="D2" s="7"/>
      <c r="E2" s="7"/>
      <c r="F2" s="7"/>
      <c r="G2" s="7"/>
      <c r="H2" s="7" t="s">
        <v>2</v>
      </c>
      <c r="I2" s="7"/>
      <c r="J2" s="7"/>
      <c r="K2" s="7"/>
      <c r="L2" s="7"/>
      <c r="M2" s="7"/>
      <c r="N2" s="7"/>
      <c r="O2" s="7"/>
      <c r="P2" s="7" t="s">
        <v>3</v>
      </c>
      <c r="Q2" s="7"/>
      <c r="R2" s="7"/>
      <c r="S2" s="7"/>
      <c r="T2" s="7"/>
      <c r="U2" s="7"/>
      <c r="V2" s="7" t="s">
        <v>63</v>
      </c>
      <c r="W2" s="7"/>
      <c r="X2" s="7"/>
      <c r="Y2" s="7"/>
    </row>
    <row r="3" spans="1:25" x14ac:dyDescent="0.3">
      <c r="A3" s="8"/>
      <c r="B3" s="7" t="s">
        <v>5</v>
      </c>
      <c r="C3" s="7"/>
      <c r="D3" s="7"/>
      <c r="E3" s="7" t="s">
        <v>6</v>
      </c>
      <c r="F3" s="7"/>
      <c r="G3" s="7"/>
      <c r="H3" s="7" t="s">
        <v>7</v>
      </c>
      <c r="I3" s="7"/>
      <c r="J3" s="7" t="s">
        <v>8</v>
      </c>
      <c r="K3" s="7"/>
      <c r="L3" s="7"/>
      <c r="M3" s="7"/>
      <c r="N3" s="7"/>
      <c r="O3" s="7"/>
      <c r="P3" s="7" t="s">
        <v>5</v>
      </c>
      <c r="Q3" s="7"/>
      <c r="R3" s="7"/>
      <c r="S3" s="7" t="s">
        <v>9</v>
      </c>
      <c r="T3" s="7"/>
      <c r="U3" s="7"/>
      <c r="V3" s="7" t="s">
        <v>64</v>
      </c>
      <c r="W3" s="7"/>
      <c r="X3" s="7"/>
      <c r="Y3" t="s">
        <v>65</v>
      </c>
    </row>
    <row r="4" spans="1:25" x14ac:dyDescent="0.3">
      <c r="A4" s="8"/>
      <c r="B4" t="s">
        <v>11</v>
      </c>
      <c r="C4" t="s">
        <v>12</v>
      </c>
      <c r="D4" t="s">
        <v>13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11</v>
      </c>
      <c r="Q4" t="s">
        <v>12</v>
      </c>
      <c r="R4" t="s">
        <v>13</v>
      </c>
      <c r="S4" t="s">
        <v>11</v>
      </c>
      <c r="T4" t="s">
        <v>12</v>
      </c>
      <c r="U4" t="s">
        <v>13</v>
      </c>
      <c r="V4" t="s">
        <v>11</v>
      </c>
      <c r="W4" t="s">
        <v>12</v>
      </c>
      <c r="X4" t="s">
        <v>13</v>
      </c>
      <c r="Y4" t="s">
        <v>66</v>
      </c>
    </row>
    <row r="5" spans="1:25" x14ac:dyDescent="0.3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24</v>
      </c>
      <c r="I5" t="s">
        <v>24</v>
      </c>
      <c r="J5">
        <f>B18/2</f>
        <v>7.7499999999999999E-2</v>
      </c>
      <c r="K5">
        <f>B19/2</f>
        <v>8.1500000000000003E-2</v>
      </c>
      <c r="L5">
        <f>B20/2</f>
        <v>3.5000000000000003E-2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</row>
    <row r="6" spans="1:25" x14ac:dyDescent="0.3">
      <c r="A6">
        <v>0</v>
      </c>
      <c r="B6">
        <f>J5</f>
        <v>7.7499999999999999E-2</v>
      </c>
      <c r="C6">
        <f>K5</f>
        <v>8.1500000000000003E-2</v>
      </c>
      <c r="D6">
        <v>0</v>
      </c>
      <c r="E6">
        <v>0</v>
      </c>
      <c r="F6">
        <v>0</v>
      </c>
      <c r="G6">
        <f>X18</f>
        <v>46.441099292122146</v>
      </c>
      <c r="H6">
        <f>E19/2</f>
        <v>2.5000000000000001E-2</v>
      </c>
      <c r="I6">
        <f>(E18-H6)-$B$24</f>
        <v>8.0000000000000019E-3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</row>
    <row r="7" spans="1:25" x14ac:dyDescent="0.3">
      <c r="A7">
        <v>1</v>
      </c>
      <c r="B7">
        <f>(E18)+(H18/2)</f>
        <v>6.9000000000000006E-2</v>
      </c>
      <c r="C7">
        <v>0</v>
      </c>
      <c r="D7">
        <v>0</v>
      </c>
      <c r="E7">
        <v>0</v>
      </c>
      <c r="F7">
        <v>0</v>
      </c>
      <c r="G7">
        <v>0</v>
      </c>
      <c r="H7">
        <f>H20/2</f>
        <v>3.2000000000000001E-2</v>
      </c>
      <c r="I7">
        <f>(H18-2*H7)/2 -$B$24</f>
        <v>0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>
        <f>-H18/2</f>
        <v>-3.4000000000000002E-2</v>
      </c>
      <c r="Q7">
        <v>0</v>
      </c>
      <c r="R7">
        <v>0</v>
      </c>
      <c r="S7" s="2">
        <v>0</v>
      </c>
      <c r="T7" s="2">
        <v>0</v>
      </c>
      <c r="U7" s="3">
        <v>1</v>
      </c>
      <c r="V7">
        <v>0</v>
      </c>
      <c r="W7">
        <v>0</v>
      </c>
      <c r="X7">
        <v>0</v>
      </c>
      <c r="Y7">
        <v>0.21199999999999999</v>
      </c>
    </row>
    <row r="8" spans="1:25" x14ac:dyDescent="0.3">
      <c r="A8">
        <v>2</v>
      </c>
      <c r="B8">
        <f>H18/2</f>
        <v>3.4000000000000002E-2</v>
      </c>
      <c r="C8">
        <v>0</v>
      </c>
      <c r="D8">
        <v>0</v>
      </c>
      <c r="E8">
        <v>0</v>
      </c>
      <c r="F8">
        <v>0</v>
      </c>
      <c r="G8">
        <v>0</v>
      </c>
      <c r="H8">
        <f>K21/2</f>
        <v>3.2000000000000001E-2</v>
      </c>
      <c r="I8" t="s">
        <v>24</v>
      </c>
      <c r="J8">
        <f>H8+$B$24</f>
        <v>3.4000000000000002E-2</v>
      </c>
      <c r="K8">
        <v>0</v>
      </c>
      <c r="L8">
        <v>0</v>
      </c>
      <c r="M8">
        <f>K18-H9-$B$24</f>
        <v>0.20199999999999999</v>
      </c>
      <c r="N8">
        <v>0</v>
      </c>
      <c r="O8">
        <f>-K19+$B$24</f>
        <v>-1.29E-2</v>
      </c>
      <c r="P8">
        <v>0</v>
      </c>
      <c r="Q8">
        <v>0</v>
      </c>
      <c r="R8">
        <v>0</v>
      </c>
      <c r="S8" s="2">
        <v>0</v>
      </c>
      <c r="T8" s="3">
        <v>-1</v>
      </c>
      <c r="U8" s="3">
        <v>0</v>
      </c>
      <c r="V8">
        <f>K18/2</f>
        <v>0.11799999999999999</v>
      </c>
      <c r="W8">
        <v>0</v>
      </c>
      <c r="X8">
        <f>-K19/2</f>
        <v>-7.45E-3</v>
      </c>
      <c r="Y8">
        <v>0.36</v>
      </c>
    </row>
    <row r="9" spans="1:25" x14ac:dyDescent="0.3">
      <c r="A9">
        <v>3</v>
      </c>
      <c r="B9">
        <f>K18</f>
        <v>0.23599999999999999</v>
      </c>
      <c r="C9">
        <v>0</v>
      </c>
      <c r="D9">
        <f>-K19</f>
        <v>-1.49E-2</v>
      </c>
      <c r="E9">
        <v>0</v>
      </c>
      <c r="F9">
        <v>0</v>
      </c>
      <c r="G9">
        <v>0</v>
      </c>
      <c r="H9">
        <f>N21/2</f>
        <v>3.2000000000000001E-2</v>
      </c>
      <c r="I9" t="s">
        <v>24</v>
      </c>
      <c r="J9">
        <f>H9+$B$24</f>
        <v>3.4000000000000002E-2</v>
      </c>
      <c r="K9">
        <v>0</v>
      </c>
      <c r="L9">
        <v>0</v>
      </c>
      <c r="M9">
        <f>N18-H9-$B$24-H10</f>
        <v>0.21100000000000002</v>
      </c>
      <c r="N9">
        <v>0</v>
      </c>
      <c r="O9">
        <f>N19-$B$24</f>
        <v>1.9999999999999997E-2</v>
      </c>
      <c r="P9">
        <v>0</v>
      </c>
      <c r="Q9">
        <v>0</v>
      </c>
      <c r="R9">
        <v>0</v>
      </c>
      <c r="S9" s="2">
        <v>0</v>
      </c>
      <c r="T9" s="3">
        <v>1</v>
      </c>
      <c r="U9" s="4" t="s">
        <v>31</v>
      </c>
      <c r="V9">
        <f>N18/2</f>
        <v>0.14000000000000001</v>
      </c>
      <c r="W9">
        <v>0</v>
      </c>
      <c r="X9">
        <f>N19/2</f>
        <v>1.0999999999999999E-2</v>
      </c>
      <c r="Y9">
        <v>0.53500000000000003</v>
      </c>
    </row>
    <row r="10" spans="1:25" x14ac:dyDescent="0.3">
      <c r="A10" t="s">
        <v>33</v>
      </c>
      <c r="B10">
        <f>N18</f>
        <v>0.28000000000000003</v>
      </c>
      <c r="C10">
        <v>0</v>
      </c>
      <c r="D10">
        <f>N19</f>
        <v>2.1999999999999999E-2</v>
      </c>
      <c r="E10">
        <v>0</v>
      </c>
      <c r="F10">
        <v>0</v>
      </c>
      <c r="G10">
        <v>0</v>
      </c>
      <c r="H10">
        <f>Q19/2</f>
        <v>3.5000000000000003E-2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>
        <f>-(N18)</f>
        <v>-0.28000000000000003</v>
      </c>
      <c r="Q10">
        <v>0</v>
      </c>
      <c r="R10">
        <v>0</v>
      </c>
      <c r="S10" s="3">
        <v>-1</v>
      </c>
      <c r="T10" s="2">
        <v>0</v>
      </c>
      <c r="U10" s="2">
        <v>0</v>
      </c>
      <c r="V10">
        <v>0</v>
      </c>
      <c r="W10">
        <v>0</v>
      </c>
      <c r="X10">
        <v>0</v>
      </c>
      <c r="Y10">
        <v>0.20499999999999999</v>
      </c>
    </row>
    <row r="11" spans="1:25" x14ac:dyDescent="0.3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>
        <v>0</v>
      </c>
      <c r="Q11">
        <v>0</v>
      </c>
      <c r="R11">
        <v>0</v>
      </c>
      <c r="S11" s="3">
        <v>0</v>
      </c>
      <c r="T11" s="2">
        <v>-1</v>
      </c>
      <c r="U11" s="2">
        <v>0</v>
      </c>
      <c r="V11">
        <v>0</v>
      </c>
      <c r="W11">
        <v>0</v>
      </c>
      <c r="X11">
        <v>0</v>
      </c>
      <c r="Y11">
        <v>0.125</v>
      </c>
    </row>
    <row r="12" spans="1:25" x14ac:dyDescent="0.3">
      <c r="A12">
        <v>6</v>
      </c>
      <c r="B12">
        <f>Q18</f>
        <v>8.6999999999999994E-2</v>
      </c>
      <c r="C12">
        <v>0</v>
      </c>
      <c r="D12">
        <v>0</v>
      </c>
      <c r="E12">
        <v>0</v>
      </c>
      <c r="F12">
        <v>0</v>
      </c>
      <c r="G12">
        <v>0</v>
      </c>
      <c r="H12">
        <f>T18/2</f>
        <v>4.7E-2</v>
      </c>
      <c r="I12">
        <f>(Q18-H10-T22/2)/2-$B$24</f>
        <v>1.8499999999999996E-2</v>
      </c>
      <c r="J12">
        <f>-(T22/2+I12)</f>
        <v>-2.9499999999999995E-2</v>
      </c>
      <c r="K12">
        <v>0</v>
      </c>
      <c r="L12">
        <v>0</v>
      </c>
      <c r="M12" t="s">
        <v>24</v>
      </c>
      <c r="N12" t="s">
        <v>24</v>
      </c>
      <c r="O12" t="s">
        <v>24</v>
      </c>
      <c r="P12">
        <f>-Q18</f>
        <v>-8.6999999999999994E-2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0.28699999999999998</v>
      </c>
    </row>
    <row r="13" spans="1:25" x14ac:dyDescent="0.3">
      <c r="A13" t="s">
        <v>58</v>
      </c>
      <c r="H13">
        <f>T20/2</f>
        <v>9.5000000000000001E-2</v>
      </c>
      <c r="I13">
        <f>T22/2</f>
        <v>1.0999999999999999E-2</v>
      </c>
      <c r="J13">
        <v>0</v>
      </c>
      <c r="K13">
        <v>0</v>
      </c>
      <c r="L13">
        <v>0</v>
      </c>
    </row>
    <row r="17" spans="1:31" x14ac:dyDescent="0.3">
      <c r="A17" s="7" t="s">
        <v>36</v>
      </c>
      <c r="B17" s="7"/>
      <c r="D17" s="7" t="s">
        <v>37</v>
      </c>
      <c r="E17" s="7"/>
      <c r="G17" s="7" t="s">
        <v>41</v>
      </c>
      <c r="H17" s="7"/>
      <c r="J17" s="7" t="s">
        <v>42</v>
      </c>
      <c r="K17" s="7"/>
      <c r="M17" s="7" t="s">
        <v>43</v>
      </c>
      <c r="N17" s="7"/>
      <c r="P17" s="7" t="s">
        <v>44</v>
      </c>
      <c r="Q17" s="7"/>
      <c r="S17" s="7" t="s">
        <v>45</v>
      </c>
      <c r="T17" s="7"/>
      <c r="AB17" t="s">
        <v>67</v>
      </c>
      <c r="AC17" t="s">
        <v>68</v>
      </c>
      <c r="AD17" t="s">
        <v>69</v>
      </c>
      <c r="AE17" t="s">
        <v>70</v>
      </c>
    </row>
    <row r="18" spans="1:31" x14ac:dyDescent="0.3">
      <c r="A18" t="s">
        <v>4</v>
      </c>
      <c r="B18">
        <v>0.155</v>
      </c>
      <c r="D18" t="s">
        <v>38</v>
      </c>
      <c r="E18">
        <v>3.5000000000000003E-2</v>
      </c>
      <c r="G18" t="s">
        <v>26</v>
      </c>
      <c r="H18">
        <v>6.8000000000000005E-2</v>
      </c>
      <c r="J18" t="s">
        <v>27</v>
      </c>
      <c r="K18">
        <v>0.23599999999999999</v>
      </c>
      <c r="M18" t="s">
        <v>30</v>
      </c>
      <c r="N18">
        <v>0.28000000000000003</v>
      </c>
      <c r="P18" t="s">
        <v>34</v>
      </c>
      <c r="Q18">
        <v>8.6999999999999994E-2</v>
      </c>
      <c r="S18" t="s">
        <v>4</v>
      </c>
      <c r="T18">
        <v>9.4E-2</v>
      </c>
      <c r="V18" t="s">
        <v>60</v>
      </c>
      <c r="W18">
        <f>ATAN(B19/B18)</f>
        <v>0.81055009089313934</v>
      </c>
      <c r="X18" s="5">
        <f>DEGREES(W18)</f>
        <v>46.441099292122146</v>
      </c>
      <c r="Y18" s="5">
        <f>180-X18</f>
        <v>133.55890070787785</v>
      </c>
      <c r="AA18" t="s">
        <v>11</v>
      </c>
      <c r="AB18" s="6">
        <f>-AC18</f>
        <v>-0.68909990487209516</v>
      </c>
      <c r="AC18" s="6">
        <f>COS(W18)</f>
        <v>0.68909990487209516</v>
      </c>
      <c r="AD18" s="6">
        <f>AB18</f>
        <v>-0.68909990487209516</v>
      </c>
      <c r="AE18" s="6">
        <f>AC18</f>
        <v>0.68909990487209516</v>
      </c>
    </row>
    <row r="19" spans="1:31" x14ac:dyDescent="0.3">
      <c r="A19" t="s">
        <v>10</v>
      </c>
      <c r="B19">
        <v>0.16300000000000001</v>
      </c>
      <c r="D19" t="s">
        <v>39</v>
      </c>
      <c r="E19">
        <v>0.05</v>
      </c>
      <c r="G19" t="s">
        <v>40</v>
      </c>
      <c r="H19">
        <v>5.5E-2</v>
      </c>
      <c r="J19" t="s">
        <v>28</v>
      </c>
      <c r="K19">
        <v>1.49E-2</v>
      </c>
      <c r="M19" t="s">
        <v>32</v>
      </c>
      <c r="N19">
        <v>2.1999999999999999E-2</v>
      </c>
      <c r="P19" t="s">
        <v>53</v>
      </c>
      <c r="Q19">
        <v>7.0000000000000007E-2</v>
      </c>
      <c r="S19" t="s">
        <v>10</v>
      </c>
      <c r="T19">
        <v>0.125</v>
      </c>
      <c r="V19" s="1"/>
      <c r="W19" s="1"/>
      <c r="AA19" t="s">
        <v>12</v>
      </c>
      <c r="AB19" s="6">
        <f>AC19</f>
        <v>0.72466635157517101</v>
      </c>
      <c r="AC19" s="6">
        <f>SIN(W18)</f>
        <v>0.72466635157517101</v>
      </c>
      <c r="AD19" s="6">
        <f>-AB19</f>
        <v>-0.72466635157517101</v>
      </c>
      <c r="AE19" s="6">
        <f>-AC19</f>
        <v>-0.72466635157517101</v>
      </c>
    </row>
    <row r="20" spans="1:31" x14ac:dyDescent="0.3">
      <c r="A20" t="s">
        <v>22</v>
      </c>
      <c r="B20">
        <v>7.0000000000000007E-2</v>
      </c>
      <c r="D20" t="s">
        <v>46</v>
      </c>
      <c r="E20">
        <v>0.04</v>
      </c>
      <c r="G20" t="s">
        <v>47</v>
      </c>
      <c r="H20">
        <v>6.4000000000000001E-2</v>
      </c>
      <c r="J20" t="s">
        <v>48</v>
      </c>
      <c r="K20">
        <v>5.5E-2</v>
      </c>
      <c r="M20" t="s">
        <v>50</v>
      </c>
      <c r="N20">
        <v>5.7000000000000002E-2</v>
      </c>
      <c r="P20" t="s">
        <v>52</v>
      </c>
      <c r="Q20">
        <v>9.4E-2</v>
      </c>
      <c r="S20" t="s">
        <v>25</v>
      </c>
      <c r="T20">
        <v>0.19</v>
      </c>
      <c r="V20" t="s">
        <v>61</v>
      </c>
      <c r="W20">
        <f>ATAN(-K19/K18)</f>
        <v>-6.3051904954767299E-2</v>
      </c>
      <c r="X20">
        <f>DEGREES(W20)</f>
        <v>-3.6126080441681698</v>
      </c>
    </row>
    <row r="21" spans="1:31" x14ac:dyDescent="0.3">
      <c r="J21" t="s">
        <v>49</v>
      </c>
      <c r="K21">
        <v>6.4000000000000001E-2</v>
      </c>
      <c r="M21" t="s">
        <v>51</v>
      </c>
      <c r="N21">
        <v>6.4000000000000001E-2</v>
      </c>
      <c r="S21" t="s">
        <v>54</v>
      </c>
      <c r="T21">
        <v>0.06</v>
      </c>
    </row>
    <row r="22" spans="1:31" x14ac:dyDescent="0.3">
      <c r="S22" t="s">
        <v>55</v>
      </c>
      <c r="T22">
        <v>2.1999999999999999E-2</v>
      </c>
    </row>
    <row r="23" spans="1:31" x14ac:dyDescent="0.3">
      <c r="V23" t="s">
        <v>62</v>
      </c>
      <c r="W23" t="s">
        <v>29</v>
      </c>
      <c r="X23" t="s">
        <v>12</v>
      </c>
      <c r="Y23" t="s">
        <v>13</v>
      </c>
    </row>
    <row r="24" spans="1:31" x14ac:dyDescent="0.3">
      <c r="A24" t="s">
        <v>59</v>
      </c>
      <c r="B24">
        <v>2E-3</v>
      </c>
      <c r="S24" s="7" t="s">
        <v>56</v>
      </c>
      <c r="T24" s="7"/>
      <c r="V24">
        <v>1</v>
      </c>
      <c r="W24">
        <v>60</v>
      </c>
      <c r="X24" s="5">
        <f>$T$25*COS(RADIANS(W24))</f>
        <v>2.2000000000000002E-2</v>
      </c>
      <c r="Y24" s="5">
        <f>$T$25*SIN(RADIANS(W24))</f>
        <v>3.8105117766515297E-2</v>
      </c>
    </row>
    <row r="25" spans="1:31" x14ac:dyDescent="0.3">
      <c r="S25" t="s">
        <v>14</v>
      </c>
      <c r="T25">
        <v>4.3999999999999997E-2</v>
      </c>
      <c r="V25">
        <v>2</v>
      </c>
      <c r="W25">
        <f>W24+120</f>
        <v>180</v>
      </c>
      <c r="X25" s="5">
        <f t="shared" ref="X25:X26" si="0">$T$25*COS(RADIANS(W25))</f>
        <v>-4.3999999999999997E-2</v>
      </c>
      <c r="Y25" s="5">
        <f t="shared" ref="Y25:Y26" si="1">$T$25*SIN(RADIANS(W25))</f>
        <v>5.3906532015979279E-18</v>
      </c>
    </row>
    <row r="26" spans="1:31" x14ac:dyDescent="0.3">
      <c r="S26" t="s">
        <v>57</v>
      </c>
      <c r="T26">
        <v>60</v>
      </c>
      <c r="V26">
        <v>3</v>
      </c>
      <c r="W26">
        <f>W25+120</f>
        <v>300</v>
      </c>
      <c r="X26" s="5">
        <f t="shared" si="0"/>
        <v>2.2000000000000002E-2</v>
      </c>
      <c r="Y26" s="5">
        <f t="shared" si="1"/>
        <v>-3.8105117766515297E-2</v>
      </c>
    </row>
    <row r="29" spans="1:31" x14ac:dyDescent="0.3">
      <c r="B29" t="s">
        <v>71</v>
      </c>
      <c r="C29" t="s">
        <v>72</v>
      </c>
      <c r="E29" t="s">
        <v>73</v>
      </c>
    </row>
    <row r="30" spans="1:31" x14ac:dyDescent="0.3">
      <c r="B30">
        <v>5</v>
      </c>
      <c r="C30">
        <v>10</v>
      </c>
      <c r="D30">
        <f t="shared" ref="D30:D63" si="2">B30*$R$30+$S$30</f>
        <v>-161.27731684273803</v>
      </c>
      <c r="E30">
        <v>0.3</v>
      </c>
      <c r="F30">
        <f>B30*$R$32+$S$32</f>
        <v>-4.0929923559220045</v>
      </c>
      <c r="R30" cm="1">
        <f t="array" ref="R30:S30">LINEST(C30:C62,B30:B62,1,0)</f>
        <v>19.839319762947689</v>
      </c>
      <c r="S30">
        <v>-260.47391565747648</v>
      </c>
    </row>
    <row r="31" spans="1:31" x14ac:dyDescent="0.3">
      <c r="B31">
        <v>10</v>
      </c>
      <c r="C31">
        <v>18</v>
      </c>
      <c r="D31">
        <f t="shared" si="2"/>
        <v>-62.08071802799958</v>
      </c>
      <c r="E31">
        <v>0.5</v>
      </c>
      <c r="F31">
        <f t="shared" ref="F31:F63" si="3">B31*$R$32+$S$32</f>
        <v>-1.5758189470067787</v>
      </c>
    </row>
    <row r="32" spans="1:31" x14ac:dyDescent="0.3">
      <c r="B32">
        <v>13</v>
      </c>
      <c r="C32">
        <v>35</v>
      </c>
      <c r="D32">
        <f t="shared" si="2"/>
        <v>-2.5627587391565498</v>
      </c>
      <c r="E32">
        <v>0.9</v>
      </c>
      <c r="F32">
        <f t="shared" si="3"/>
        <v>-6.5514901657643065E-2</v>
      </c>
      <c r="R32" cm="1">
        <f t="array" ref="R32:S32">LINEST(E30:E62,B30:B62,1,0)</f>
        <v>0.50343468178304518</v>
      </c>
      <c r="S32">
        <v>-6.6101657648372303</v>
      </c>
    </row>
    <row r="33" spans="2:6" x14ac:dyDescent="0.3">
      <c r="B33">
        <v>15</v>
      </c>
      <c r="C33">
        <v>55</v>
      </c>
      <c r="D33">
        <f t="shared" si="2"/>
        <v>37.115880786738842</v>
      </c>
      <c r="E33">
        <v>1.4</v>
      </c>
      <c r="F33">
        <f t="shared" si="3"/>
        <v>0.94135446190844707</v>
      </c>
    </row>
    <row r="34" spans="2:6" x14ac:dyDescent="0.3">
      <c r="B34">
        <v>17</v>
      </c>
      <c r="C34">
        <v>70</v>
      </c>
      <c r="D34">
        <f t="shared" si="2"/>
        <v>76.794520312634234</v>
      </c>
      <c r="E34">
        <v>1.7</v>
      </c>
      <c r="F34">
        <f t="shared" si="3"/>
        <v>1.9482238254745372</v>
      </c>
    </row>
    <row r="35" spans="2:6" x14ac:dyDescent="0.3">
      <c r="B35">
        <v>18</v>
      </c>
      <c r="C35">
        <v>79</v>
      </c>
      <c r="D35">
        <f t="shared" si="2"/>
        <v>96.633840075581929</v>
      </c>
      <c r="E35">
        <v>2</v>
      </c>
      <c r="F35">
        <f t="shared" si="3"/>
        <v>2.4516585072575836</v>
      </c>
    </row>
    <row r="36" spans="2:6" x14ac:dyDescent="0.3">
      <c r="B36">
        <v>19</v>
      </c>
      <c r="C36">
        <v>90</v>
      </c>
      <c r="D36">
        <f t="shared" si="2"/>
        <v>116.47315983852963</v>
      </c>
      <c r="E36">
        <v>2.2999999999999998</v>
      </c>
      <c r="F36">
        <f t="shared" si="3"/>
        <v>2.9550931890406282</v>
      </c>
    </row>
    <row r="37" spans="2:6" x14ac:dyDescent="0.3">
      <c r="B37">
        <v>20</v>
      </c>
      <c r="C37">
        <v>112</v>
      </c>
      <c r="D37">
        <f t="shared" si="2"/>
        <v>136.31247960147732</v>
      </c>
      <c r="E37">
        <v>2.8</v>
      </c>
      <c r="F37">
        <f t="shared" si="3"/>
        <v>3.4585278708236729</v>
      </c>
    </row>
    <row r="38" spans="2:6" x14ac:dyDescent="0.3">
      <c r="B38">
        <v>21</v>
      </c>
      <c r="C38">
        <v>120</v>
      </c>
      <c r="D38">
        <f t="shared" si="2"/>
        <v>156.15179936442496</v>
      </c>
      <c r="E38">
        <v>3</v>
      </c>
      <c r="F38">
        <f t="shared" si="3"/>
        <v>3.9619625526067193</v>
      </c>
    </row>
    <row r="39" spans="2:6" x14ac:dyDescent="0.3">
      <c r="B39">
        <v>22</v>
      </c>
      <c r="C39">
        <v>137</v>
      </c>
      <c r="D39">
        <f t="shared" si="2"/>
        <v>175.99111912737266</v>
      </c>
      <c r="E39">
        <v>3.5</v>
      </c>
      <c r="F39">
        <f t="shared" si="3"/>
        <v>4.4653972343897639</v>
      </c>
    </row>
    <row r="40" spans="2:6" x14ac:dyDescent="0.3">
      <c r="B40">
        <v>23</v>
      </c>
      <c r="C40">
        <v>148</v>
      </c>
      <c r="D40">
        <f t="shared" si="2"/>
        <v>195.83043889032035</v>
      </c>
      <c r="E40">
        <v>3.8</v>
      </c>
      <c r="F40">
        <f t="shared" si="3"/>
        <v>4.9688319161728085</v>
      </c>
    </row>
    <row r="41" spans="2:6" x14ac:dyDescent="0.3">
      <c r="B41">
        <v>24</v>
      </c>
      <c r="C41">
        <v>170</v>
      </c>
      <c r="D41">
        <f t="shared" si="2"/>
        <v>215.66975865326805</v>
      </c>
      <c r="E41">
        <v>4.3</v>
      </c>
      <c r="F41">
        <f t="shared" si="3"/>
        <v>5.4722665979558549</v>
      </c>
    </row>
    <row r="42" spans="2:6" x14ac:dyDescent="0.3">
      <c r="B42">
        <v>25</v>
      </c>
      <c r="C42">
        <v>194</v>
      </c>
      <c r="D42">
        <f t="shared" si="2"/>
        <v>235.50907841621574</v>
      </c>
      <c r="E42">
        <v>4.8</v>
      </c>
      <c r="F42">
        <f t="shared" si="3"/>
        <v>5.9757012797388995</v>
      </c>
    </row>
    <row r="43" spans="2:6" x14ac:dyDescent="0.3">
      <c r="B43">
        <v>26</v>
      </c>
      <c r="C43">
        <v>210</v>
      </c>
      <c r="D43">
        <f t="shared" si="2"/>
        <v>255.34839817916338</v>
      </c>
      <c r="E43">
        <v>5.3</v>
      </c>
      <c r="F43">
        <f t="shared" si="3"/>
        <v>6.4791359615219442</v>
      </c>
    </row>
    <row r="44" spans="2:6" x14ac:dyDescent="0.3">
      <c r="B44">
        <v>27</v>
      </c>
      <c r="C44">
        <v>230</v>
      </c>
      <c r="D44">
        <f t="shared" si="2"/>
        <v>275.18771794211114</v>
      </c>
      <c r="E44">
        <v>5.8</v>
      </c>
      <c r="F44">
        <f t="shared" si="3"/>
        <v>6.9825706433049888</v>
      </c>
    </row>
    <row r="45" spans="2:6" x14ac:dyDescent="0.3">
      <c r="B45">
        <v>28</v>
      </c>
      <c r="C45">
        <v>240</v>
      </c>
      <c r="D45">
        <f t="shared" si="2"/>
        <v>295.02703770505877</v>
      </c>
      <c r="E45">
        <v>6.1</v>
      </c>
      <c r="F45">
        <f t="shared" si="3"/>
        <v>7.4860053250880352</v>
      </c>
    </row>
    <row r="46" spans="2:6" x14ac:dyDescent="0.3">
      <c r="B46">
        <v>29</v>
      </c>
      <c r="C46">
        <v>278</v>
      </c>
      <c r="D46">
        <f t="shared" si="2"/>
        <v>314.86635746800653</v>
      </c>
      <c r="E46">
        <v>7.1</v>
      </c>
      <c r="F46">
        <f t="shared" si="3"/>
        <v>7.9894400068710798</v>
      </c>
    </row>
    <row r="47" spans="2:6" x14ac:dyDescent="0.3">
      <c r="B47">
        <v>30</v>
      </c>
      <c r="C47">
        <v>299</v>
      </c>
      <c r="D47">
        <f t="shared" si="2"/>
        <v>334.70567723095417</v>
      </c>
      <c r="E47">
        <v>7.6</v>
      </c>
      <c r="F47">
        <f t="shared" si="3"/>
        <v>8.4928746886541244</v>
      </c>
    </row>
    <row r="48" spans="2:6" x14ac:dyDescent="0.3">
      <c r="B48">
        <v>31</v>
      </c>
      <c r="C48">
        <v>320</v>
      </c>
      <c r="D48">
        <f t="shared" si="2"/>
        <v>354.54499699390192</v>
      </c>
      <c r="E48">
        <v>8.1</v>
      </c>
      <c r="F48">
        <f t="shared" si="3"/>
        <v>8.9963093704371708</v>
      </c>
    </row>
    <row r="49" spans="2:6" x14ac:dyDescent="0.3">
      <c r="B49">
        <v>32</v>
      </c>
      <c r="C49">
        <v>342</v>
      </c>
      <c r="D49">
        <f t="shared" si="2"/>
        <v>374.38431675684956</v>
      </c>
      <c r="E49">
        <v>8.6999999999999993</v>
      </c>
      <c r="F49">
        <f t="shared" si="3"/>
        <v>9.4997440522202155</v>
      </c>
    </row>
    <row r="50" spans="2:6" x14ac:dyDescent="0.3">
      <c r="B50">
        <v>33</v>
      </c>
      <c r="C50">
        <v>356</v>
      </c>
      <c r="D50">
        <f t="shared" si="2"/>
        <v>394.2236365197972</v>
      </c>
      <c r="E50">
        <v>9.1</v>
      </c>
      <c r="F50">
        <f t="shared" si="3"/>
        <v>10.00317873400326</v>
      </c>
    </row>
    <row r="51" spans="2:6" x14ac:dyDescent="0.3">
      <c r="B51">
        <v>34</v>
      </c>
      <c r="C51">
        <v>400</v>
      </c>
      <c r="D51">
        <f t="shared" si="2"/>
        <v>414.06295628274495</v>
      </c>
      <c r="E51">
        <v>10.1</v>
      </c>
      <c r="F51">
        <f t="shared" si="3"/>
        <v>10.506613415786305</v>
      </c>
    </row>
    <row r="52" spans="2:6" x14ac:dyDescent="0.3">
      <c r="B52">
        <v>35</v>
      </c>
      <c r="C52">
        <v>409</v>
      </c>
      <c r="D52">
        <f t="shared" si="2"/>
        <v>433.90227604569259</v>
      </c>
      <c r="E52">
        <v>10.4</v>
      </c>
      <c r="F52">
        <f t="shared" si="3"/>
        <v>11.010048097569349</v>
      </c>
    </row>
    <row r="53" spans="2:6" x14ac:dyDescent="0.3">
      <c r="B53">
        <v>36</v>
      </c>
      <c r="C53">
        <v>448</v>
      </c>
      <c r="D53">
        <f t="shared" si="2"/>
        <v>453.74159580864034</v>
      </c>
      <c r="E53">
        <v>11.4</v>
      </c>
      <c r="F53">
        <f t="shared" si="3"/>
        <v>11.513482779352398</v>
      </c>
    </row>
    <row r="54" spans="2:6" x14ac:dyDescent="0.3">
      <c r="B54">
        <v>37</v>
      </c>
      <c r="C54">
        <v>476</v>
      </c>
      <c r="D54">
        <f t="shared" si="2"/>
        <v>473.58091557158798</v>
      </c>
      <c r="E54">
        <v>12.1</v>
      </c>
      <c r="F54">
        <f t="shared" si="3"/>
        <v>12.016917461135442</v>
      </c>
    </row>
    <row r="55" spans="2:6" x14ac:dyDescent="0.3">
      <c r="B55">
        <v>38</v>
      </c>
      <c r="C55">
        <v>491</v>
      </c>
      <c r="D55">
        <f t="shared" si="2"/>
        <v>493.42023533453573</v>
      </c>
      <c r="E55">
        <v>12.5</v>
      </c>
      <c r="F55">
        <f t="shared" si="3"/>
        <v>12.520352142918487</v>
      </c>
    </row>
    <row r="56" spans="2:6" x14ac:dyDescent="0.3">
      <c r="B56">
        <v>39</v>
      </c>
      <c r="C56">
        <v>537</v>
      </c>
      <c r="D56">
        <f t="shared" si="2"/>
        <v>513.25955509748337</v>
      </c>
      <c r="E56">
        <v>13.6</v>
      </c>
      <c r="F56">
        <f t="shared" si="3"/>
        <v>13.023786824701531</v>
      </c>
    </row>
    <row r="57" spans="2:6" x14ac:dyDescent="0.3">
      <c r="B57">
        <v>40</v>
      </c>
      <c r="C57">
        <v>550</v>
      </c>
      <c r="D57">
        <f t="shared" si="2"/>
        <v>533.09887486043112</v>
      </c>
      <c r="E57">
        <v>14</v>
      </c>
      <c r="F57">
        <f t="shared" si="3"/>
        <v>13.527221506484576</v>
      </c>
    </row>
    <row r="58" spans="2:6" x14ac:dyDescent="0.3">
      <c r="B58">
        <v>41</v>
      </c>
      <c r="C58">
        <v>595</v>
      </c>
      <c r="D58">
        <f t="shared" si="2"/>
        <v>552.93819462337876</v>
      </c>
      <c r="E58">
        <v>15.1</v>
      </c>
      <c r="F58">
        <f t="shared" si="3"/>
        <v>14.030656188267621</v>
      </c>
    </row>
    <row r="59" spans="2:6" x14ac:dyDescent="0.3">
      <c r="B59">
        <v>42</v>
      </c>
      <c r="C59">
        <v>619</v>
      </c>
      <c r="D59">
        <f t="shared" si="2"/>
        <v>572.7775143863264</v>
      </c>
      <c r="E59">
        <v>15.7</v>
      </c>
      <c r="F59">
        <f t="shared" si="3"/>
        <v>14.534090870050669</v>
      </c>
    </row>
    <row r="60" spans="2:6" x14ac:dyDescent="0.3">
      <c r="B60">
        <v>43</v>
      </c>
      <c r="C60">
        <v>655</v>
      </c>
      <c r="D60">
        <f t="shared" si="2"/>
        <v>592.61683414927415</v>
      </c>
      <c r="E60">
        <v>16.600000000000001</v>
      </c>
      <c r="F60">
        <f t="shared" si="3"/>
        <v>15.037525551833713</v>
      </c>
    </row>
    <row r="61" spans="2:6" x14ac:dyDescent="0.3">
      <c r="B61">
        <v>44</v>
      </c>
      <c r="C61">
        <v>682</v>
      </c>
      <c r="D61">
        <f t="shared" si="2"/>
        <v>612.45615391222179</v>
      </c>
      <c r="E61">
        <v>17.3</v>
      </c>
      <c r="F61">
        <f t="shared" si="3"/>
        <v>15.540960233616758</v>
      </c>
    </row>
    <row r="62" spans="2:6" x14ac:dyDescent="0.3">
      <c r="B62">
        <v>45</v>
      </c>
      <c r="C62">
        <v>718</v>
      </c>
      <c r="D62">
        <f t="shared" si="2"/>
        <v>632.29547367516955</v>
      </c>
      <c r="E62">
        <v>18.2</v>
      </c>
      <c r="F62">
        <f t="shared" si="3"/>
        <v>16.044394915399803</v>
      </c>
    </row>
    <row r="63" spans="2:6" x14ac:dyDescent="0.3">
      <c r="B63">
        <v>100</v>
      </c>
      <c r="D63">
        <f t="shared" si="2"/>
        <v>1723.4580606372924</v>
      </c>
      <c r="F63">
        <f t="shared" si="3"/>
        <v>43.733302413467285</v>
      </c>
    </row>
  </sheetData>
  <mergeCells count="20">
    <mergeCell ref="V2:Y2"/>
    <mergeCell ref="V3:X3"/>
    <mergeCell ref="A2:A4"/>
    <mergeCell ref="B2:G2"/>
    <mergeCell ref="H2:O2"/>
    <mergeCell ref="P2:U2"/>
    <mergeCell ref="B3:D3"/>
    <mergeCell ref="E3:G3"/>
    <mergeCell ref="H3:I3"/>
    <mergeCell ref="J3:O3"/>
    <mergeCell ref="P3:R3"/>
    <mergeCell ref="S3:U3"/>
    <mergeCell ref="S17:T17"/>
    <mergeCell ref="S24:T24"/>
    <mergeCell ref="A17:B17"/>
    <mergeCell ref="D17:E17"/>
    <mergeCell ref="G17:H17"/>
    <mergeCell ref="J17:K17"/>
    <mergeCell ref="M17:N17"/>
    <mergeCell ref="P17:Q17"/>
  </mergeCells>
  <pageMargins left="0.70000000000000007" right="0.70000000000000007" top="1.1437007874015745" bottom="1.1437007874015745" header="0.74999999999999989" footer="0.74999999999999989"/>
  <pageSetup paperSize="9" fitToWidth="0" fitToHeight="0" orientation="portrait" r:id="rId1"/>
  <headerFooter alignWithMargins="0"/>
  <drawing r:id="rId2"/>
</worksheet>
</file>

<file path=docProps/app.xml><?xml version="1.0" encoding="utf-8"?>
<Properties xmlns="http://purl.oclc.org/ooxml/officeDocument/extendedProperties" xmlns:vt="http://purl.oclc.org/ooxml/officeDocument/docPropsVTypes"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AGENJO ORTIZ</dc:creator>
  <cp:lastModifiedBy>ALVARO AGENJO ORTIZ</cp:lastModifiedBy>
  <cp:revision>2</cp:revision>
  <dcterms:created xsi:type="dcterms:W3CDTF">2025-03-31T18:50:30Z</dcterms:created>
  <dcterms:modified xsi:type="dcterms:W3CDTF">2025-08-05T10:42:40Z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AppVersion">
    <vt:lpwstr>16.0300</vt:lpwstr>
  </property>
</Properties>
</file>